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Moizes\Cursos\DIO\Dashboard\"/>
    </mc:Choice>
  </mc:AlternateContent>
  <xr:revisionPtr revIDLastSave="0" documentId="13_ncr:10000001_{0A17ECBB-9F81-48CE-A213-4F5F9295C92E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1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3" l="1"/>
  <c r="D14" i="3"/>
  <c r="D21" i="3"/>
</calcChain>
</file>

<file path=xl/sharedStrings.xml><?xml version="1.0" encoding="utf-8"?>
<sst xmlns="http://schemas.openxmlformats.org/spreadsheetml/2006/main" count="2014" uniqueCount="327">
  <si>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</si>
  <si>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</si>
  <si>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</si>
  <si>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</si>
  <si>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</si>
  <si>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</si>
  <si>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</si>
  <si>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</si>
  <si>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</si>
  <si>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</si>
  <si>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</si>
  <si>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</si>
  <si>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</si>
  <si>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</si>
  <si>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</si>
  <si>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</si>
  <si>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</si>
  <si>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</si>
  <si>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</si>
  <si>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</si>
  <si>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</si>
  <si>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</si>
  <si>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</si>
  <si>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</si>
  <si>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</si>
  <si>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</si>
  <si>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</si>
  <si>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</si>
  <si>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</si>
  <si>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</si>
  <si>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</si>
  <si>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</si>
  <si>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</si>
  <si>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</si>
  <si>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</si>
  <si>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</si>
  <si>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</si>
  <si>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</si>
  <si>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</si>
  <si>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</si>
  <si>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</si>
  <si>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</si>
  <si>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</si>
  <si>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</si>
  <si>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</si>
  <si>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</si>
  <si>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</si>
  <si>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</si>
  <si>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</si>
  <si>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</si>
  <si>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</si>
  <si>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</si>
  <si>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</si>
  <si>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</si>
  <si>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</si>
  <si>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</si>
  <si>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</si>
  <si>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</si>
  <si>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</si>
  <si>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</si>
  <si>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</si>
  <si>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</si>
  <si>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</si>
  <si>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</si>
  <si>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</si>
  <si>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</si>
  <si>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</si>
  <si>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</si>
  <si>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</si>
  <si>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</si>
  <si>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</si>
  <si>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</si>
  <si>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</si>
  <si>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</si>
  <si>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</si>
  <si>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</si>
  <si>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</si>
  <si>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</si>
  <si>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</si>
  <si>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</si>
  <si>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</si>
  <si>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</si>
  <si>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</si>
  <si>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</si>
  <si>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</si>
  <si>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</si>
  <si>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</si>
  <si>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</si>
  <si>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</si>
  <si>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</si>
  <si>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</si>
  <si>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</si>
  <si>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</si>
  <si>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</si>
  <si>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</si>
  <si>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</si>
  <si>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</si>
  <si>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</si>
  <si>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</si>
  <si>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</si>
  <si>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</si>
  <si>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</si>
  <si>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</si>
  <si>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</si>
  <si>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</si>
  <si>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</si>
  <si>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</si>
  <si>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</si>
  <si>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</si>
  <si>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</si>
  <si>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</si>
  <si>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</si>
  <si>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</si>
  <si>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</si>
  <si>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</si>
  <si>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</si>
  <si>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</si>
  <si>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</si>
  <si>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</si>
  <si>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</si>
  <si>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</si>
  <si>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</si>
  <si>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</si>
  <si>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</si>
  <si>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</si>
  <si>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</si>
  <si>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</si>
  <si>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</si>
  <si>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</si>
  <si>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</si>
  <si>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</si>
  <si>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</si>
  <si>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</si>
  <si>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</si>
  <si>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</si>
  <si>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</si>
  <si>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</si>
  <si>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</si>
  <si>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</si>
  <si>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</si>
  <si>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</si>
  <si>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</si>
  <si>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</si>
  <si>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</si>
  <si>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</si>
  <si>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</si>
  <si>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</si>
  <si>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</si>
  <si>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</si>
  <si>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</si>
  <si>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</si>
  <si>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</si>
  <si>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</si>
  <si>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</si>
  <si>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</si>
  <si>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</si>
  <si>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</si>
  <si>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</si>
  <si>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</si>
  <si>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</si>
  <si>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</si>
  <si>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</si>
  <si>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</si>
  <si>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</si>
  <si>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</si>
  <si>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</si>
  <si>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</si>
  <si>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</si>
  <si>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</si>
  <si>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</si>
  <si>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</si>
  <si>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</si>
  <si>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</si>
  <si>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</si>
  <si>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</si>
  <si>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</si>
  <si>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</si>
  <si>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</si>
  <si>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</si>
  <si>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</si>
  <si>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</si>
  <si>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</si>
  <si>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</si>
  <si>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</si>
  <si>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</si>
  <si>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</si>
  <si>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</si>
  <si>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</si>
  <si>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</si>
  <si>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</si>
  <si>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</si>
  <si>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</si>
  <si>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</si>
  <si>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</si>
  <si>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</si>
  <si>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</si>
  <si>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</si>
  <si>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</si>
  <si>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</si>
  <si>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</si>
  <si>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</si>
  <si>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</si>
  <si>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</si>
  <si>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</si>
  <si>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</si>
  <si>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</si>
  <si>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</si>
  <si>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</si>
  <si>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</si>
  <si>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</si>
  <si>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</si>
  <si>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</si>
  <si>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</si>
  <si>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</si>
  <si>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</si>
  <si>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</si>
  <si>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</si>
  <si>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</si>
  <si>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</si>
  <si>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</si>
  <si>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</si>
  <si>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</si>
  <si>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</si>
  <si>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</si>
  <si>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</si>
  <si>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</si>
  <si>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</si>
  <si>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</si>
  <si>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</si>
  <si>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</si>
  <si>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</si>
  <si>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</si>
  <si>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</si>
  <si>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</si>
  <si>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</si>
  <si>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</si>
  <si>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</si>
  <si>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</si>
  <si>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</si>
  <si>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</si>
  <si>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</si>
  <si>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</si>
  <si>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</si>
  <si>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</si>
  <si>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</si>
  <si>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</si>
  <si>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</si>
  <si>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</si>
  <si>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</si>
  <si>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</si>
  <si>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</si>
  <si>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</si>
  <si>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</si>
  <si>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</si>
  <si>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</si>
  <si>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</si>
  <si>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</si>
  <si>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</si>
  <si>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</si>
  <si>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</si>
  <si>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</si>
  <si>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</si>
  <si>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</si>
  <si>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</si>
  <si>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</si>
  <si>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</si>
  <si>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</si>
  <si>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</si>
  <si>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</si>
  <si>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</si>
  <si>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</si>
  <si>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</si>
  <si>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</si>
  <si>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</si>
  <si>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</si>
  <si>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</si>
  <si>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</si>
  <si>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</si>
  <si>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</si>
  <si>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</si>
  <si>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</si>
  <si>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</si>
  <si>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</si>
  <si>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</si>
  <si>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</si>
  <si>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</si>
  <si>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</si>
  <si>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</si>
  <si>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</si>
  <si>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</si>
  <si>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</si>
  <si>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</si>
  <si>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</si>
  <si>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</si>
  <si>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</si>
  <si>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</si>
  <si>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</si>
  <si>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</si>
  <si>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</si>
  <si>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</si>
  <si>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</si>
  <si>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</si>
  <si>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</si>
  <si>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</si>
  <si>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</si>
  <si>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</si>
  <si>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</si>
  <si>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</si>
  <si>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</si>
  <si>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</si>
  <si>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</si>
  <si>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</si>
  <si>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</si>
  <si>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</si>
  <si>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Soma de Subscription Price</t>
  </si>
  <si>
    <t>Total Geral</t>
  </si>
  <si>
    <t>Soma de Coupon Value</t>
  </si>
  <si>
    <t>Soma de Total Value</t>
  </si>
  <si>
    <t>Contagem de Name</t>
  </si>
  <si>
    <t>&gt; Olá ! Moizes</t>
  </si>
  <si>
    <t>XBOX GAME PASS SUBSCRIPTIONS SALES</t>
  </si>
  <si>
    <t>Quatidade de cupons</t>
  </si>
  <si>
    <t>Quantidade de assinantes</t>
  </si>
  <si>
    <t>Quantidade geral</t>
  </si>
  <si>
    <t>Ultima aualização</t>
  </si>
  <si>
    <t>Periodo de Apuração</t>
  </si>
  <si>
    <t>Todo o ano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</si>
</sst>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36"/>
      <color rgb="FF5BF6A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0" fillId="0" borderId="0" xfId="0" applyNumberFormat="1"/>
    <xf numFmtId="0" fontId="0" fillId="8" borderId="0" xfId="0" applyFill="1"/>
    <xf numFmtId="0" fontId="4" fillId="8" borderId="3" xfId="3" applyFill="1" applyBorder="1"/>
    <xf numFmtId="0" fontId="0" fillId="8" borderId="3" xfId="0" applyFill="1" applyBorder="1"/>
    <xf numFmtId="0" fontId="0" fillId="6" borderId="0" xfId="0" applyFill="1" applyAlignment="1">
      <alignment vertical="center"/>
    </xf>
    <xf numFmtId="0" fontId="5" fillId="8" borderId="3" xfId="3" applyFont="1" applyFill="1" applyBorder="1"/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24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5BF6A8"/>
          <bgColor rgb="FF5BF6A8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5BF6A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5BF6A8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5" defaultTableStyle="TableStyleMedium2" defaultPivotStyle="PivotStyleLight16">
    <tableStyle name="SlicerStyleLight6 2" pivot="0" table="0" count="10" xr9:uid="{7CE34595-3DF5-4854-BD48-4FEA5B53AD88}">
      <tableStyleElement type="wholeTable" dxfId="9"/>
      <tableStyleElement type="headerRow" dxfId="8"/>
    </tableStyle>
    <tableStyle name="SlicerStyleLight6 2 2" pivot="0" table="0" count="10" xr9:uid="{2EDAB9AA-D32F-459F-85AB-A4C4818AD64D}">
      <tableStyleElement type="wholeTable" dxfId="7"/>
      <tableStyleElement type="headerRow" dxfId="6"/>
    </tableStyle>
    <tableStyle name="SlicerStyleLight6 2 3" pivot="0" table="0" count="10" xr9:uid="{068655FE-8F77-4364-99FF-B6320D036F55}">
      <tableStyleElement type="wholeTable" dxfId="5"/>
      <tableStyleElement type="headerRow" dxfId="4"/>
    </tableStyle>
    <tableStyle name="SlicerStyleLight6 2 4" pivot="0" table="0" count="10" xr9:uid="{B1782B07-9B78-44CE-8E0D-0B241395B94C}">
      <tableStyleElement type="wholeTable" dxfId="3"/>
      <tableStyleElement type="headerRow" dxfId="2"/>
    </tableStyle>
    <tableStyle name="SlicerStyleLight6 2 5" pivot="0" table="0" count="10" xr9:uid="{13B812F6-5972-44DE-ACBC-E9E377C4E02A}">
      <tableStyleElement type="wholeTable" dxfId="1"/>
      <tableStyleElement type="headerRow" dxfId="0"/>
    </tableStyle>
  </tableStyles>
  <colors>
    <mruColors>
      <color rgb="FF5BF6A8"/>
      <color rgb="FF2AE6B1"/>
      <color rgb="FFE8E6E9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6 2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2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4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5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[Desafio.xlsx]C̳álculos!Tabela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96-4217-836E-8FE9391566D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96-4217-836E-8FE939156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6-4217-836E-8FE93915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3209568"/>
        <c:axId val="593209208"/>
      </c:barChart>
      <c:catAx>
        <c:axId val="59320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9208"/>
        <c:crosses val="autoZero"/>
        <c:auto val="1"/>
        <c:lblAlgn val="ctr"/>
        <c:lblOffset val="100"/>
        <c:noMultiLvlLbl val="0"/>
      </c:catAx>
      <c:valAx>
        <c:axId val="5932092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932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752475</xdr:colOff>
      <xdr:row>2</xdr:row>
      <xdr:rowOff>447675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21DF71D7-D19D-4895-9858-C1365C9BDFE7}"/>
            </a:ext>
          </a:extLst>
        </xdr:cNvPr>
        <xdr:cNvSpPr/>
      </xdr:nvSpPr>
      <xdr:spPr>
        <a:xfrm>
          <a:off x="0" y="180975"/>
          <a:ext cx="752475" cy="62865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0</xdr:colOff>
      <xdr:row>11</xdr:row>
      <xdr:rowOff>180974</xdr:rowOff>
    </xdr:from>
    <xdr:to>
      <xdr:col>21</xdr:col>
      <xdr:colOff>0</xdr:colOff>
      <xdr:row>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264D3A-873F-483D-898F-0842A535D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133350</xdr:rowOff>
    </xdr:from>
    <xdr:to>
      <xdr:col>1</xdr:col>
      <xdr:colOff>0</xdr:colOff>
      <xdr:row>21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5D64FC34-1025-4134-98CC-85F7283DDC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14500"/>
              <a:ext cx="150495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219075</xdr:colOff>
      <xdr:row>5</xdr:row>
      <xdr:rowOff>108583</xdr:rowOff>
    </xdr:from>
    <xdr:to>
      <xdr:col>6</xdr:col>
      <xdr:colOff>219075</xdr:colOff>
      <xdr:row>11</xdr:row>
      <xdr:rowOff>57149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3EAAAF97-F62D-860B-AD83-328D2D02F03C}"/>
            </a:ext>
          </a:extLst>
        </xdr:cNvPr>
        <xdr:cNvGrpSpPr/>
      </xdr:nvGrpSpPr>
      <xdr:grpSpPr>
        <a:xfrm>
          <a:off x="1724025" y="1508758"/>
          <a:ext cx="3048000" cy="1034416"/>
          <a:chOff x="4552950" y="1489707"/>
          <a:chExt cx="3048000" cy="1034416"/>
        </a:xfrm>
      </xdr:grpSpPr>
      <xdr:sp macro="" textlink="C̳álculos!D21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FF724BBD-3E4D-44C6-BEF4-CAEA07588545}"/>
              </a:ext>
            </a:extLst>
          </xdr:cNvPr>
          <xdr:cNvSpPr/>
        </xdr:nvSpPr>
        <xdr:spPr>
          <a:xfrm>
            <a:off x="4552950" y="1489707"/>
            <a:ext cx="3048000" cy="672465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</a:p>
        </xdr:txBody>
      </xdr:sp>
      <xdr:sp macro="" textlink="C̳álculos!D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FA84B3B-A315-4578-A82A-C7ED2E0C817B}"/>
              </a:ext>
            </a:extLst>
          </xdr:cNvPr>
          <xdr:cNvSpPr/>
        </xdr:nvSpPr>
        <xdr:spPr>
          <a:xfrm>
            <a:off x="4552950" y="1981198"/>
            <a:ext cx="3048000" cy="542924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E6482AC-DC55-4FFA-A3CF-8EE8E48FE2A8}" type="TxLink">
              <a:rPr lang="en-US" sz="2000" b="0" i="0" u="none" strike="noStrike">
                <a:solidFill>
                  <a:srgbClr val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R$ 7.633,00 </a:t>
            </a:fld>
            <a:endParaRPr lang="pt-BR" sz="2000" b="0" i="0" u="none" strike="noStrike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589A3D83-94BE-4ED2-81D8-AC43347081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-22582" r="69938" b="-30644"/>
          <a:stretch>
            <a:fillRect/>
          </a:stretch>
        </xdr:blipFill>
        <xdr:spPr>
          <a:xfrm>
            <a:off x="4552950" y="1619249"/>
            <a:ext cx="609600" cy="904874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476250</xdr:colOff>
      <xdr:row>5</xdr:row>
      <xdr:rowOff>108584</xdr:rowOff>
    </xdr:from>
    <xdr:to>
      <xdr:col>13</xdr:col>
      <xdr:colOff>476250</xdr:colOff>
      <xdr:row>11</xdr:row>
      <xdr:rowOff>108584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A31C0E33-7F58-96E0-E0F8-05B5363E5F6D}"/>
            </a:ext>
          </a:extLst>
        </xdr:cNvPr>
        <xdr:cNvGrpSpPr/>
      </xdr:nvGrpSpPr>
      <xdr:grpSpPr>
        <a:xfrm>
          <a:off x="6248400" y="1508759"/>
          <a:ext cx="3048000" cy="1085850"/>
          <a:chOff x="1504950" y="1400175"/>
          <a:chExt cx="3048000" cy="108585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6E0895E3-F1FA-20FB-889A-39370DC61BFE}"/>
              </a:ext>
            </a:extLst>
          </xdr:cNvPr>
          <xdr:cNvGrpSpPr/>
        </xdr:nvGrpSpPr>
        <xdr:grpSpPr>
          <a:xfrm>
            <a:off x="1504950" y="1400175"/>
            <a:ext cx="3048000" cy="1085850"/>
            <a:chOff x="2114550" y="1457325"/>
            <a:chExt cx="2438400" cy="904875"/>
          </a:xfrm>
        </xdr:grpSpPr>
        <xdr:sp macro="" textlink="C̳álculos!D21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987E60A3-EF22-40BA-BB21-6B1B63B9ABF2}"/>
                </a:ext>
              </a:extLst>
            </xdr:cNvPr>
            <xdr:cNvSpPr/>
          </xdr:nvSpPr>
          <xdr:spPr>
            <a:xfrm>
              <a:off x="2114550" y="1457325"/>
              <a:ext cx="2438400" cy="409575"/>
            </a:xfrm>
            <a:prstGeom prst="round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600" baseline="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DE CUPONS</a:t>
              </a:r>
              <a:endParaRPr lang="pt-BR" sz="160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D21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22F77DD1-3582-573B-4035-9D6BD96DAF54}"/>
                </a:ext>
              </a:extLst>
            </xdr:cNvPr>
            <xdr:cNvSpPr/>
          </xdr:nvSpPr>
          <xdr:spPr>
            <a:xfrm>
              <a:off x="2114550" y="1866900"/>
              <a:ext cx="2438400" cy="495300"/>
            </a:xfrm>
            <a:prstGeom prst="round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52AF97D-42A8-4745-9F96-3E608B1EA6C6}" type="TxLink">
                <a:rPr lang="en-US" sz="2000" b="0" i="0" u="none" strike="noStrike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R$ 2.935,00 </a:t>
              </a:fld>
              <a:endParaRPr lang="pt-BR" sz="200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0CCC2E39-EFB2-4703-8210-33B145BAFF7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-22582" r="69938" b="-30644"/>
          <a:stretch>
            <a:fillRect/>
          </a:stretch>
        </xdr:blipFill>
        <xdr:spPr>
          <a:xfrm>
            <a:off x="1504950" y="1581150"/>
            <a:ext cx="609600" cy="90487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11</xdr:row>
      <xdr:rowOff>180974</xdr:rowOff>
    </xdr:from>
    <xdr:to>
      <xdr:col>21</xdr:col>
      <xdr:colOff>0</xdr:colOff>
      <xdr:row>15</xdr:row>
      <xdr:rowOff>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EF7C8F3E-B054-E5D7-959E-3BAF726CFAC6}"/>
            </a:ext>
          </a:extLst>
        </xdr:cNvPr>
        <xdr:cNvSpPr/>
      </xdr:nvSpPr>
      <xdr:spPr>
        <a:xfrm>
          <a:off x="1504950" y="2666999"/>
          <a:ext cx="12192000" cy="542926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ASSINATURAS RENOVÁVEIS</a:t>
          </a:r>
        </a:p>
      </xdr:txBody>
    </xdr:sp>
    <xdr:clientData/>
  </xdr:twoCellAnchor>
  <xdr:twoCellAnchor>
    <xdr:from>
      <xdr:col>16</xdr:col>
      <xdr:colOff>0</xdr:colOff>
      <xdr:row>5</xdr:row>
      <xdr:rowOff>108584</xdr:rowOff>
    </xdr:from>
    <xdr:to>
      <xdr:col>21</xdr:col>
      <xdr:colOff>0</xdr:colOff>
      <xdr:row>9</xdr:row>
      <xdr:rowOff>57149</xdr:rowOff>
    </xdr:to>
    <xdr:sp macro="" textlink="C̳álculos!D21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5332EBF-F873-4140-853C-42B6406CAA1E}"/>
            </a:ext>
          </a:extLst>
        </xdr:cNvPr>
        <xdr:cNvSpPr/>
      </xdr:nvSpPr>
      <xdr:spPr>
        <a:xfrm>
          <a:off x="10648950" y="1508759"/>
          <a:ext cx="3048000" cy="672465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600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CLIENTES</a:t>
          </a:r>
          <a:endParaRPr lang="pt-BR" sz="160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0</xdr:colOff>
      <xdr:row>8</xdr:row>
      <xdr:rowOff>57150</xdr:rowOff>
    </xdr:from>
    <xdr:to>
      <xdr:col>21</xdr:col>
      <xdr:colOff>0</xdr:colOff>
      <xdr:row>11</xdr:row>
      <xdr:rowOff>57149</xdr:rowOff>
    </xdr:to>
    <xdr:sp macro="" textlink="C̳álculos!D14">
      <xdr:nvSpPr>
        <xdr:cNvPr id="23" name="Retângulo: Cantos Arredondados 22">
          <a:extLst>
            <a:ext uri="{FF2B5EF4-FFF2-40B4-BE49-F238E27FC236}">
              <a16:creationId xmlns:a16="http://schemas.microsoft.com/office/drawing/2014/main" id="{E6223354-0BA9-4AE5-A314-90B739D7B688}"/>
            </a:ext>
          </a:extLst>
        </xdr:cNvPr>
        <xdr:cNvSpPr/>
      </xdr:nvSpPr>
      <xdr:spPr>
        <a:xfrm>
          <a:off x="10648950" y="2000250"/>
          <a:ext cx="3048000" cy="542924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077BACA-DF74-4B54-970A-B786EB0CE31F}" type="TxLink">
            <a:rPr lang="en-US" sz="2000" b="0" i="0" u="none" strike="noStrike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295</a:t>
          </a:fld>
          <a:endParaRPr lang="pt-BR" sz="2000" b="0" i="0" u="none" strike="noStrike">
            <a:solidFill>
              <a:schemeClr val="tx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0</xdr:colOff>
      <xdr:row>6</xdr:row>
      <xdr:rowOff>57151</xdr:rowOff>
    </xdr:from>
    <xdr:to>
      <xdr:col>17</xdr:col>
      <xdr:colOff>0</xdr:colOff>
      <xdr:row>11</xdr:row>
      <xdr:rowOff>57150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625AAC52-282B-405A-9C79-70813FF349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-22582" r="69938" b="-30644"/>
        <a:stretch>
          <a:fillRect/>
        </a:stretch>
      </xdr:blipFill>
      <xdr:spPr>
        <a:xfrm>
          <a:off x="10648950" y="1638301"/>
          <a:ext cx="609600" cy="90487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zes Baptista da Silva" refreshedDate="46122.637258333336" createdVersion="8" refreshedVersion="8" minRefreshableVersion="3" recordCount="295" xr:uid="{5DB49C85-67FD-4084-9C42-49A3BB54B18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222571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C4821-3ADA-4EE4-B15E-E2F76481475D}" name="Tabela dinâmica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0:B21" firstHeaderRow="0" firstDataRow="1" firstDataCol="0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 numFmtId="44"/>
    <dataField name="Soma de Subscription Price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A83B8-AAF7-4D80-A22F-55EFBA09BD75}" name="Tabela dinâ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0:B14" firstHeaderRow="1" firstDataRow="1" firstDataCol="1"/>
  <pivotFields count="13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D1D6D-7437-4C72-A9C8-6A327916BAD1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869644B-2994-4611-BC9A-3BCF3403DE65}" sourceName="Subscription Type">
  <pivotTables>
    <pivotTable tabId="3" name="Tabela dinâmica3"/>
    <pivotTable tabId="3" name="Tabela dinâmica5"/>
    <pivotTable tabId="3" name="Tabela dinâmica6"/>
  </pivotTables>
  <data>
    <tabular pivotCacheId="112225711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5922B0B-58FE-4BF3-9DFD-C821EB36D5CC}" cache="SegmentaçãodeDados_Subscription_Type" caption="Total" style="SlicerStyleLight6 2 5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2"/>
    <tableColumn id="2" xr3:uid="{53DD39D0-2220-4121-9E9D-4EAA7E151C0F}" name="Name" dataDxfId="21"/>
    <tableColumn id="3" xr3:uid="{4F5FF271-4C57-4BE0-8F2C-F82C8551625C}" name="Plan" dataDxfId="20"/>
    <tableColumn id="4" xr3:uid="{8C17EB93-79B9-4E55-B8F7-BEB82F8253E9}" name="Start Date" dataDxfId="19"/>
    <tableColumn id="5" xr3:uid="{48CEDF9B-1689-482A-A828-5CCE7713264A}" name="Auto Renewal" dataDxfId="1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19" sqref="M1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50" zoomScale="90" zoomScaleNormal="90" workbookViewId="0">
      <selection activeCell="M19" sqref="M1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21"/>
  <sheetViews>
    <sheetView showGridLines="0" workbookViewId="0">
      <selection activeCell="M19" sqref="M19"/>
    </sheetView>
  </sheetViews>
  <sheetFormatPr defaultRowHeight="14.4" x14ac:dyDescent="0.3"/>
  <cols>
    <col min="1" max="1" width="20.109375" bestFit="1" customWidth="1"/>
    <col min="2" max="2" width="24.21875" bestFit="1" customWidth="1"/>
    <col min="3" max="4" width="17.44140625" bestFit="1" customWidth="1"/>
    <col min="5" max="5" width="20.109375" bestFit="1" customWidth="1"/>
  </cols>
  <sheetData>
    <row r="2" spans="1:4" x14ac:dyDescent="0.3">
      <c r="A2" t="s">
        <v>323</v>
      </c>
    </row>
    <row r="3" spans="1:4" x14ac:dyDescent="0.3">
      <c r="A3" s="12" t="s">
        <v>313</v>
      </c>
      <c r="B3" t="s">
        <v>317</v>
      </c>
    </row>
    <row r="4" spans="1:4" x14ac:dyDescent="0.3">
      <c r="A4" s="13" t="s">
        <v>23</v>
      </c>
      <c r="B4" s="14">
        <v>3847</v>
      </c>
    </row>
    <row r="5" spans="1:4" x14ac:dyDescent="0.3">
      <c r="A5" s="13" t="s">
        <v>19</v>
      </c>
      <c r="B5" s="14">
        <v>3786</v>
      </c>
    </row>
    <row r="6" spans="1:4" x14ac:dyDescent="0.3">
      <c r="A6" s="13" t="s">
        <v>315</v>
      </c>
      <c r="B6" s="14">
        <v>7633</v>
      </c>
      <c r="D6" s="15">
        <f>GETPIVOTDATA("Total Value",$A$3)</f>
        <v>7633</v>
      </c>
    </row>
    <row r="9" spans="1:4" x14ac:dyDescent="0.3">
      <c r="A9" s="13" t="s">
        <v>322</v>
      </c>
    </row>
    <row r="10" spans="1:4" x14ac:dyDescent="0.3">
      <c r="A10" s="12" t="s">
        <v>313</v>
      </c>
      <c r="B10" t="s">
        <v>318</v>
      </c>
    </row>
    <row r="11" spans="1:4" x14ac:dyDescent="0.3">
      <c r="A11" s="13" t="s">
        <v>24</v>
      </c>
      <c r="B11" s="16">
        <v>71</v>
      </c>
    </row>
    <row r="12" spans="1:4" x14ac:dyDescent="0.3">
      <c r="A12" s="13" t="s">
        <v>20</v>
      </c>
      <c r="B12" s="16">
        <v>139</v>
      </c>
    </row>
    <row r="13" spans="1:4" x14ac:dyDescent="0.3">
      <c r="A13" s="13" t="s">
        <v>27</v>
      </c>
      <c r="B13" s="16">
        <v>85</v>
      </c>
    </row>
    <row r="14" spans="1:4" x14ac:dyDescent="0.3">
      <c r="A14" s="13" t="s">
        <v>315</v>
      </c>
      <c r="B14" s="16">
        <v>295</v>
      </c>
      <c r="D14">
        <f>GETPIVOTDATA("Name",$A$10)</f>
        <v>295</v>
      </c>
    </row>
    <row r="15" spans="1:4" x14ac:dyDescent="0.3">
      <c r="A15" s="13"/>
      <c r="B15" s="16"/>
    </row>
    <row r="16" spans="1:4" x14ac:dyDescent="0.3">
      <c r="A16" s="13"/>
      <c r="B16" s="16"/>
    </row>
    <row r="17" spans="1:4" x14ac:dyDescent="0.3">
      <c r="A17" s="13"/>
      <c r="B17" s="16"/>
    </row>
    <row r="18" spans="1:4" x14ac:dyDescent="0.3">
      <c r="A18" s="13"/>
      <c r="B18" s="16"/>
    </row>
    <row r="19" spans="1:4" x14ac:dyDescent="0.3">
      <c r="A19" s="13" t="s">
        <v>321</v>
      </c>
      <c r="B19" s="16"/>
    </row>
    <row r="20" spans="1:4" x14ac:dyDescent="0.3">
      <c r="A20" t="s">
        <v>316</v>
      </c>
      <c r="B20" t="s">
        <v>314</v>
      </c>
    </row>
    <row r="21" spans="1:4" x14ac:dyDescent="0.3">
      <c r="A21" s="14">
        <v>2122</v>
      </c>
      <c r="B21" s="14">
        <v>2935</v>
      </c>
      <c r="D21" s="15">
        <f>GETPIVOTDATA("Soma de Subscription Price",$A$20)</f>
        <v>2935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L412"/>
  <sheetViews>
    <sheetView showGridLines="0" tabSelected="1" zoomScale="80" zoomScaleNormal="80" workbookViewId="0">
      <selection activeCell="X18" sqref="X18"/>
    </sheetView>
  </sheetViews>
  <sheetFormatPr defaultRowHeight="14.4" x14ac:dyDescent="0.3"/>
  <cols>
    <col min="1" max="1" width="21.88671875" style="6" customWidth="1"/>
  </cols>
  <sheetData>
    <row r="1" spans="1:38" s="17" customFormat="1" x14ac:dyDescent="0.3">
      <c r="A1" s="20"/>
    </row>
    <row r="2" spans="1:38" s="17" customFormat="1" x14ac:dyDescent="0.3">
      <c r="A2" s="20"/>
    </row>
    <row r="3" spans="1:38" s="17" customFormat="1" ht="52.8" thickBot="1" x14ac:dyDescent="1.1499999999999999">
      <c r="A3" s="20"/>
      <c r="C3" s="21" t="s">
        <v>320</v>
      </c>
      <c r="D3" s="18"/>
      <c r="E3" s="18"/>
      <c r="F3" s="18"/>
      <c r="G3" s="18"/>
      <c r="H3" s="18"/>
      <c r="I3" s="18"/>
      <c r="J3" s="18"/>
      <c r="K3" s="18"/>
      <c r="L3" s="19"/>
      <c r="M3" s="19"/>
      <c r="N3" s="19"/>
      <c r="O3" s="19"/>
      <c r="P3" s="19"/>
      <c r="Q3" s="19"/>
    </row>
    <row r="4" spans="1:38" s="17" customFormat="1" ht="15" thickTop="1" x14ac:dyDescent="0.3">
      <c r="A4" s="20"/>
    </row>
    <row r="5" spans="1:38" s="17" customFormat="1" x14ac:dyDescent="0.3">
      <c r="A5" s="6" t="s">
        <v>319</v>
      </c>
    </row>
    <row r="6" spans="1:38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22" t="s">
        <v>325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24" t="s">
        <v>326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22" t="s">
        <v>324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">
      <c r="A29" s="23">
        <v>46122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2:38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2:38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2:38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2:38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2:38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2:38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2:38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2:38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2:38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2:38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2:38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2:38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2:38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2:38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2:38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2:38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2:38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2:38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2:38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2:38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2:38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2:38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2:38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2:38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2:38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2:38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2:3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2:3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2:3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2:3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2:3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2:3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2:38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2:38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2:38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2:38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2:38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2:38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2:38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2:38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2:38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2:38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2:38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2:38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2:38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2:38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2:38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2:38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2:38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2:38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2:38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2:38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2:38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2:38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2:38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2:38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2:38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2:38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2:38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2:38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2:38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2:38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2:38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2:38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2:38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2:38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2:38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2:38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2:38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2:38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2:38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2:38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2:38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2:38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2:38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2:38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2:38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2:38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2:38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2:38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2:38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2:38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2:38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2:38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2:38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2:38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2:38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2:38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2:38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2:38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2:38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2:38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2:38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2:38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2:38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2:38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2:38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2:38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2:38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2:38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2:38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2:38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2:38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2:38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2:38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2:38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2:38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2:38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2:38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2:38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2:38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2:38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2:38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2:38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2:38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2:38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2:38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2:38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2:38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2:38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2:38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2:38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2:38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2:38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2:38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2:38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2:38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2:38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2:38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2:38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2:38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2:38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2:38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2:38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2:38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2:38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2:38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2:38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2:38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2:38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2:38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2:38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2:38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2:38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2:38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2:38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2:38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2:38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2:38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2:38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2:38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2:38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2:38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2:38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2:38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2:38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2:38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2:38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2:38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2:38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2:38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2:38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2:38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2:38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2:38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2:38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2:38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2:38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2:38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2:38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2:38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2:38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2:38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2:38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2:38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2:38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2:38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2:38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2:38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2:38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2:38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2:38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2:38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2:38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2:38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2:38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2:38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2:38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2:38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2:38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2:38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2:38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2:38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2:38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2:38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2:38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2:38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2:38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2:38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2:38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2:38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2:38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2:38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2:38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2:38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2:38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2:38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2:38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2:38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2:38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2:38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2:38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2:38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2:38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2:38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2:38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2:38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2:38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2:38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2:38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2:38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2:38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2:38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2:38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2:38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2:38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2:38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2:38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2:38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2:38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2:38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2:38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2:38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2:38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2:38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2:38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2:38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2:38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2:38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2:38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2:38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2:38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2:38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2:38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2:38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2:38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2:38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2:38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2:38" x14ac:dyDescent="0.3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2:38" x14ac:dyDescent="0.3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2:38" x14ac:dyDescent="0.3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2:38" x14ac:dyDescent="0.3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2:38" x14ac:dyDescent="0.3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2:38" x14ac:dyDescent="0.3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2:38" x14ac:dyDescent="0.3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2:38" x14ac:dyDescent="0.3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2:38" x14ac:dyDescent="0.3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2:38" x14ac:dyDescent="0.3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2:38" x14ac:dyDescent="0.3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2:38" x14ac:dyDescent="0.3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2:38" x14ac:dyDescent="0.3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2:38" x14ac:dyDescent="0.3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2:38" x14ac:dyDescent="0.3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2:38" x14ac:dyDescent="0.3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2:38" x14ac:dyDescent="0.3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2:38" x14ac:dyDescent="0.3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2:38" x14ac:dyDescent="0.3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2:38" x14ac:dyDescent="0.3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2:38" x14ac:dyDescent="0.3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2:38" x14ac:dyDescent="0.3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2:38" x14ac:dyDescent="0.3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2:38" x14ac:dyDescent="0.3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2:38" x14ac:dyDescent="0.3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2:38" x14ac:dyDescent="0.3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2:38" x14ac:dyDescent="0.3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2:38" x14ac:dyDescent="0.3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2:38" x14ac:dyDescent="0.3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2:38" x14ac:dyDescent="0.3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2:38" x14ac:dyDescent="0.3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2:38" x14ac:dyDescent="0.3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2:38" x14ac:dyDescent="0.3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2:38" x14ac:dyDescent="0.3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2:38" x14ac:dyDescent="0.3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2:38" x14ac:dyDescent="0.3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2:38" x14ac:dyDescent="0.3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2:38" x14ac:dyDescent="0.3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2:38" x14ac:dyDescent="0.3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2:38" x14ac:dyDescent="0.3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2:38" x14ac:dyDescent="0.3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2:38" x14ac:dyDescent="0.3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spans="2:38" x14ac:dyDescent="0.3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2:38" x14ac:dyDescent="0.3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2:38" x14ac:dyDescent="0.3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2:38" x14ac:dyDescent="0.3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2:38" x14ac:dyDescent="0.3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2:38" x14ac:dyDescent="0.3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2:38" x14ac:dyDescent="0.3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2:38" x14ac:dyDescent="0.3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spans="2:38" x14ac:dyDescent="0.3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2:38" x14ac:dyDescent="0.3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2:38" x14ac:dyDescent="0.3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2:38" x14ac:dyDescent="0.3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spans="2:38" x14ac:dyDescent="0.3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2:38" x14ac:dyDescent="0.3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2:38" x14ac:dyDescent="0.3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2:38" x14ac:dyDescent="0.3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spans="2:38" x14ac:dyDescent="0.3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2:38" x14ac:dyDescent="0.3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2:38" x14ac:dyDescent="0.3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2:38" x14ac:dyDescent="0.3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spans="2:38" x14ac:dyDescent="0.3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2:38" x14ac:dyDescent="0.3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2:38" x14ac:dyDescent="0.3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2:38" x14ac:dyDescent="0.3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spans="2:38" x14ac:dyDescent="0.3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2:38" x14ac:dyDescent="0.3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2:38" x14ac:dyDescent="0.3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2:38" x14ac:dyDescent="0.3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spans="2:38" x14ac:dyDescent="0.3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2:38" x14ac:dyDescent="0.3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2:38" x14ac:dyDescent="0.3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2:38" x14ac:dyDescent="0.3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spans="2:38" x14ac:dyDescent="0.3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2:38" x14ac:dyDescent="0.3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2:38" x14ac:dyDescent="0.3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2:38" x14ac:dyDescent="0.3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spans="2:38" x14ac:dyDescent="0.3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2:38" x14ac:dyDescent="0.3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2:38" x14ac:dyDescent="0.3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2:38" x14ac:dyDescent="0.3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spans="2:38" x14ac:dyDescent="0.3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2:38" x14ac:dyDescent="0.3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2:38" x14ac:dyDescent="0.3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2:38" x14ac:dyDescent="0.3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spans="2:38" x14ac:dyDescent="0.3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2:38" x14ac:dyDescent="0.3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2:38" x14ac:dyDescent="0.3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2:38" x14ac:dyDescent="0.3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spans="2:38" x14ac:dyDescent="0.3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2:38" x14ac:dyDescent="0.3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2:38" x14ac:dyDescent="0.3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2:38" x14ac:dyDescent="0.3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spans="2:38" x14ac:dyDescent="0.3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2:38" x14ac:dyDescent="0.3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2:38" x14ac:dyDescent="0.3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2:38" x14ac:dyDescent="0.3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spans="2:38" x14ac:dyDescent="0.3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2:38" x14ac:dyDescent="0.3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2:38" x14ac:dyDescent="0.3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2:38" x14ac:dyDescent="0.3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spans="2:38" x14ac:dyDescent="0.3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2:38" x14ac:dyDescent="0.3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2:38" x14ac:dyDescent="0.3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2:38" x14ac:dyDescent="0.3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spans="2:38" x14ac:dyDescent="0.3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2:38" x14ac:dyDescent="0.3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2:38" x14ac:dyDescent="0.3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2:38" x14ac:dyDescent="0.3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spans="2:38" x14ac:dyDescent="0.3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2:38" x14ac:dyDescent="0.3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2:38" x14ac:dyDescent="0.3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2:38" x14ac:dyDescent="0.3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spans="2:38" x14ac:dyDescent="0.3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2:38" x14ac:dyDescent="0.3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2:38" x14ac:dyDescent="0.3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2:38" x14ac:dyDescent="0.3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spans="2:38" x14ac:dyDescent="0.3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2:38" x14ac:dyDescent="0.3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2:38" x14ac:dyDescent="0.3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2:38" x14ac:dyDescent="0.3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spans="2:38" x14ac:dyDescent="0.3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2:38" x14ac:dyDescent="0.3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2:38" x14ac:dyDescent="0.3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2:38" x14ac:dyDescent="0.3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spans="2:38" x14ac:dyDescent="0.3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2:38" x14ac:dyDescent="0.3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2:38" x14ac:dyDescent="0.3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2:38" x14ac:dyDescent="0.3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spans="2:38" x14ac:dyDescent="0.3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2:38" x14ac:dyDescent="0.3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Moizes Baptista Da Silva</cp:lastModifiedBy>
  <dcterms:created xsi:type="dcterms:W3CDTF">2024-12-19T13:13:10Z</dcterms:created>
  <dcterms:modified xsi:type="dcterms:W3CDTF">2026-04-10T20:05:51Z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